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5345" windowHeight="4545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3" l="1"/>
  <c r="P14" i="1"/>
  <c r="K12" i="3"/>
  <c r="P12" i="1"/>
  <c r="M20" i="2"/>
  <c r="P10" i="1"/>
  <c r="K8" i="3"/>
  <c r="K10" i="3"/>
  <c r="M14" i="2"/>
  <c r="M10" i="2"/>
  <c r="M12" i="2"/>
  <c r="M18" i="2"/>
  <c r="K6" i="3"/>
  <c r="K4" i="3"/>
  <c r="M8" i="2"/>
  <c r="P6" i="1"/>
  <c r="M3" i="2"/>
  <c r="P2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" i="1"/>
  <c r="P8" i="1"/>
  <c r="M16" i="2"/>
</calcChain>
</file>

<file path=xl/sharedStrings.xml><?xml version="1.0" encoding="utf-8"?>
<sst xmlns="http://schemas.openxmlformats.org/spreadsheetml/2006/main" count="164" uniqueCount="116">
  <si>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</si>
  <si>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</si>
  <si>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</si>
  <si>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</si>
  <si>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</si>
  <si>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</si>
  <si>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</si>
  <si>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</si>
  <si>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</si>
  <si>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</si>
  <si>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</si>
  <si>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</si>
  <si>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</si>
  <si>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</si>
  <si>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</si>
  <si>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</si>
  <si>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</si>
  <si>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</si>
  <si>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</si>
  <si>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</si>
  <si>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</si>
  <si>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</si>
  <si>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</si>
  <si>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</si>
  <si>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</si>
  <si>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</si>
  <si>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</si>
  <si>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</si>
  <si>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</si>
  <si>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</si>
  <si>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</si>
  <si>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</si>
  <si>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</si>
  <si>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</si>
  <si>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</si>
  <si>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</si>
  <si>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</si>
  <si>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</si>
  <si>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</si>
  <si>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</si>
  <si>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</si>
  <si>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</si>
  <si>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</si>
  <si>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</si>
  <si>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</si>
  <si>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</si>
  <si>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</si>
  <si>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</si>
  <si>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</si>
  <si>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</si>
  <si>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</si>
  <si>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</si>
  <si>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</si>
  <si>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</si>
  <si>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</si>
  <si>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</si>
  <si>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</si>
  <si>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</si>
  <si>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</si>
  <si>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</si>
  <si>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</si>
  <si>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</si>
  <si>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</si>
  <si>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</si>
  <si>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</si>
  <si>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</si>
  <si>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</si>
  <si>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</si>
  <si>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</si>
  <si>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</si>
  <si>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</si>
  <si>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</si>
  <si>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</si>
  <si>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</si>
  <si>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</si>
  <si>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</si>
  <si>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</si>
  <si>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</si>
  <si>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</si>
  <si>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</si>
  <si>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</si>
  <si>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</si>
  <si>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</si>
  <si>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</si>
  <si>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</si>
  <si>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</si>
  <si>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</si>
  <si>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</si>
  <si>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</si>
  <si>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Grades</t>
  </si>
  <si>
    <t>Total</t>
  </si>
  <si>
    <t>Discount</t>
  </si>
  <si>
    <t>%</t>
  </si>
  <si>
    <t>Avg of 2</t>
  </si>
  <si>
    <t>Eligible for discount</t>
  </si>
  <si>
    <t>Students who scored more than 50 in maths</t>
  </si>
  <si>
    <t>Sum total sales for a specific region and product</t>
  </si>
  <si>
    <t>(for am exmple south and laptop)</t>
  </si>
  <si>
    <t>Average score for students who scored above 60</t>
  </si>
  <si>
    <t>Fetch student names</t>
  </si>
  <si>
    <t>Find sales values for a specific salesperson in a specific month</t>
  </si>
  <si>
    <t>Look up employee details dynamically without column restrictions</t>
  </si>
  <si>
    <t>Extract the first name from full names</t>
  </si>
  <si>
    <t>Uppercase</t>
  </si>
  <si>
    <t>Lowercase</t>
  </si>
  <si>
    <t>Search for salesperson performance based on flexible search criteria.</t>
  </si>
  <si>
    <t>Find employee salaries without worrying about sorted data.</t>
  </si>
  <si>
    <t>Find the position of a product in the sales list</t>
  </si>
  <si>
    <t>Dynamically reference a cell range using INDIRECT.</t>
  </si>
  <si>
    <t>Create dynamic ranges for sales trends.</t>
  </si>
  <si>
    <t>Calculate age from date of birth.</t>
  </si>
  <si>
    <t>Find the difference in days between two dates.</t>
  </si>
  <si>
    <t>Ceiling</t>
  </si>
  <si>
    <t>Round</t>
  </si>
  <si>
    <t>Floor</t>
  </si>
  <si>
    <t>Extract a list of top-performing students based on scores.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</si>
</sst>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3" borderId="0" xfId="0" applyFill="1"/>
    <xf numFmtId="14" fontId="2" fillId="2" borderId="5" xfId="0" applyNumberFormat="1" applyFont="1" applyFill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0" fillId="0" borderId="7" xfId="0" applyBorder="1"/>
    <xf numFmtId="2" fontId="0" fillId="0" borderId="7" xfId="0" applyNumberFormat="1" applyBorder="1"/>
    <xf numFmtId="0" fontId="0" fillId="7" borderId="7" xfId="0" applyFill="1" applyBorder="1"/>
    <xf numFmtId="0" fontId="2" fillId="4" borderId="7" xfId="0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2" fontId="0" fillId="6" borderId="7" xfId="0" applyNumberFormat="1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14" fontId="2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9" fontId="0" fillId="3" borderId="7" xfId="1" applyFont="1" applyFill="1" applyBorder="1" applyAlignment="1">
      <alignment horizontal="center"/>
    </xf>
    <xf numFmtId="0" fontId="3" fillId="3" borderId="7" xfId="0" applyFont="1" applyFill="1" applyBorder="1"/>
    <xf numFmtId="0" fontId="0" fillId="3" borderId="7" xfId="0" applyFill="1" applyBorder="1"/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14" fontId="0" fillId="7" borderId="4" xfId="0" applyNumberFormat="1" applyFill="1" applyBorder="1" applyAlignment="1">
      <alignment horizontal="center" vertical="center" wrapText="1"/>
    </xf>
    <xf numFmtId="0" fontId="0" fillId="8" borderId="7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tabSelected="1" zoomScale="70" zoomScaleNormal="70" workbookViewId="0">
      <selection activeCell="P2" sqref="P2"/>
    </sheetView>
  </sheetViews>
  <sheetFormatPr defaultRowHeight="15" x14ac:dyDescent="0.25"/>
  <cols>
    <col min="2" max="2" width="12.42578125" customWidth="1"/>
    <col min="6" max="6" width="12.42578125" customWidth="1"/>
    <col min="8" max="8" width="9.5703125" bestFit="1" customWidth="1"/>
    <col min="10" max="10" width="19.28515625" customWidth="1"/>
    <col min="11" max="11" width="15.28515625" customWidth="1"/>
    <col min="15" max="15" width="55.28515625" customWidth="1"/>
  </cols>
  <sheetData>
    <row r="1" spans="1:16" ht="30.75" thickBot="1" x14ac:dyDescent="0.3">
      <c r="A1" s="6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8" t="s">
        <v>5</v>
      </c>
      <c r="G1" s="10" t="s">
        <v>90</v>
      </c>
      <c r="H1" s="10" t="s">
        <v>92</v>
      </c>
      <c r="I1" s="10" t="s">
        <v>89</v>
      </c>
      <c r="J1" s="14" t="s">
        <v>93</v>
      </c>
    </row>
    <row r="2" spans="1:16" ht="15.75" thickBot="1" x14ac:dyDescent="0.3">
      <c r="A2" s="3">
        <v>1001</v>
      </c>
      <c r="B2" s="4" t="s">
        <v>6</v>
      </c>
      <c r="C2" s="4">
        <v>61</v>
      </c>
      <c r="D2" s="4">
        <v>48</v>
      </c>
      <c r="E2" s="4">
        <v>76</v>
      </c>
      <c r="F2" s="9">
        <v>43101</v>
      </c>
      <c r="G2" s="15">
        <f>SUM(C2+D2+E2)</f>
        <v>185</v>
      </c>
      <c r="H2" s="16">
        <f>AVERAGE(C2:E2)</f>
        <v>61.666666666666664</v>
      </c>
      <c r="I2" s="17" t="str">
        <f>IF(H2&gt;=90,"A",IF(H2&gt;=80,"B",IF(H2&gt;=70,"C",IF(H2&gt;=60,"D","F"))))</f>
        <v>D</v>
      </c>
      <c r="J2" s="18" t="str">
        <f>IF(AND(C2&gt;=80,D2&gt;=80),"YES","NO")</f>
        <v>NO</v>
      </c>
      <c r="O2" s="13" t="s">
        <v>95</v>
      </c>
      <c r="P2" s="11">
        <f>COUNTIFS(C2:C21,"&gt;50")</f>
        <v>19</v>
      </c>
    </row>
    <row r="3" spans="1:16" ht="15.75" thickBot="1" x14ac:dyDescent="0.3">
      <c r="A3" s="3">
        <v>1002</v>
      </c>
      <c r="B3" s="4" t="s">
        <v>7</v>
      </c>
      <c r="C3" s="4">
        <v>78</v>
      </c>
      <c r="D3" s="4">
        <v>76</v>
      </c>
      <c r="E3" s="4">
        <v>70</v>
      </c>
      <c r="F3" s="9">
        <v>43281</v>
      </c>
      <c r="G3" s="15">
        <f t="shared" ref="G3:G21" si="0">SUM(C3+D3+E3)</f>
        <v>224</v>
      </c>
      <c r="H3" s="16">
        <f t="shared" ref="H3:H21" si="1">AVERAGE(C3:E3)</f>
        <v>74.666666666666671</v>
      </c>
      <c r="I3" s="17" t="str">
        <f t="shared" ref="I3:I21" si="2">IF(H3&gt;=90,"A",IF(H3&gt;=80,"B",IF(H3&gt;=70,"C",IF(H3&gt;=60,"D","F"))))</f>
        <v>C</v>
      </c>
      <c r="J3" s="18" t="str">
        <f t="shared" ref="J3:J21" si="3">IF(AND(C3&gt;=80,D3&gt;=80),"YES","NO")</f>
        <v>NO</v>
      </c>
    </row>
    <row r="4" spans="1:16" ht="15.75" thickBot="1" x14ac:dyDescent="0.3">
      <c r="A4" s="3">
        <v>1003</v>
      </c>
      <c r="B4" s="4" t="s">
        <v>8</v>
      </c>
      <c r="C4" s="4">
        <v>97</v>
      </c>
      <c r="D4" s="4">
        <v>60</v>
      </c>
      <c r="E4" s="4">
        <v>51</v>
      </c>
      <c r="F4" s="9">
        <v>43461</v>
      </c>
      <c r="G4" s="15">
        <f t="shared" si="0"/>
        <v>208</v>
      </c>
      <c r="H4" s="16">
        <f t="shared" si="1"/>
        <v>69.333333333333329</v>
      </c>
      <c r="I4" s="17" t="str">
        <f t="shared" si="2"/>
        <v>D</v>
      </c>
      <c r="J4" s="18" t="str">
        <f t="shared" si="3"/>
        <v>NO</v>
      </c>
    </row>
    <row r="5" spans="1:16" ht="15.75" thickBot="1" x14ac:dyDescent="0.3">
      <c r="A5" s="3">
        <v>1004</v>
      </c>
      <c r="B5" s="4" t="s">
        <v>9</v>
      </c>
      <c r="C5" s="4">
        <v>74</v>
      </c>
      <c r="D5" s="4">
        <v>55</v>
      </c>
      <c r="E5" s="4">
        <v>46</v>
      </c>
      <c r="F5" s="9">
        <v>43641</v>
      </c>
      <c r="G5" s="15">
        <f t="shared" si="0"/>
        <v>175</v>
      </c>
      <c r="H5" s="16">
        <f t="shared" si="1"/>
        <v>58.333333333333336</v>
      </c>
      <c r="I5" s="17" t="str">
        <f t="shared" si="2"/>
        <v>F</v>
      </c>
      <c r="J5" s="18" t="str">
        <f t="shared" si="3"/>
        <v>NO</v>
      </c>
    </row>
    <row r="6" spans="1:16" ht="15.75" thickBot="1" x14ac:dyDescent="0.3">
      <c r="A6" s="3">
        <v>1005</v>
      </c>
      <c r="B6" s="4" t="s">
        <v>10</v>
      </c>
      <c r="C6" s="4">
        <v>68</v>
      </c>
      <c r="D6" s="4">
        <v>74</v>
      </c>
      <c r="E6" s="4">
        <v>84</v>
      </c>
      <c r="F6" s="9">
        <v>43821</v>
      </c>
      <c r="G6" s="15">
        <f t="shared" si="0"/>
        <v>226</v>
      </c>
      <c r="H6" s="16">
        <f t="shared" si="1"/>
        <v>75.333333333333329</v>
      </c>
      <c r="I6" s="17" t="str">
        <f t="shared" si="2"/>
        <v>C</v>
      </c>
      <c r="J6" s="18" t="str">
        <f t="shared" si="3"/>
        <v>NO</v>
      </c>
      <c r="O6" s="13" t="s">
        <v>98</v>
      </c>
      <c r="P6" s="11">
        <f>AVERAGEIF(C2:C21,"&gt;60")</f>
        <v>82.263157894736835</v>
      </c>
    </row>
    <row r="7" spans="1:16" ht="15.75" thickBot="1" x14ac:dyDescent="0.3">
      <c r="A7" s="3">
        <v>1006</v>
      </c>
      <c r="B7" s="4" t="s">
        <v>11</v>
      </c>
      <c r="C7" s="4">
        <v>80</v>
      </c>
      <c r="D7" s="4">
        <v>70</v>
      </c>
      <c r="E7" s="4">
        <v>65</v>
      </c>
      <c r="F7" s="9">
        <v>44001</v>
      </c>
      <c r="G7" s="15">
        <f t="shared" si="0"/>
        <v>215</v>
      </c>
      <c r="H7" s="16">
        <f t="shared" si="1"/>
        <v>71.666666666666671</v>
      </c>
      <c r="I7" s="17" t="str">
        <f t="shared" si="2"/>
        <v>C</v>
      </c>
      <c r="J7" s="18" t="str">
        <f t="shared" si="3"/>
        <v>NO</v>
      </c>
    </row>
    <row r="8" spans="1:16" ht="15.75" thickBot="1" x14ac:dyDescent="0.3">
      <c r="A8" s="3">
        <v>1007</v>
      </c>
      <c r="B8" s="4" t="s">
        <v>12</v>
      </c>
      <c r="C8" s="4">
        <v>75</v>
      </c>
      <c r="D8" s="4">
        <v>47</v>
      </c>
      <c r="E8" s="4">
        <v>78</v>
      </c>
      <c r="F8" s="9">
        <v>44181</v>
      </c>
      <c r="G8" s="15">
        <f t="shared" si="0"/>
        <v>200</v>
      </c>
      <c r="H8" s="16">
        <f t="shared" si="1"/>
        <v>66.666666666666671</v>
      </c>
      <c r="I8" s="17" t="str">
        <f t="shared" si="2"/>
        <v>D</v>
      </c>
      <c r="J8" s="18" t="str">
        <f t="shared" si="3"/>
        <v>NO</v>
      </c>
      <c r="O8" s="13" t="s">
        <v>99</v>
      </c>
      <c r="P8" s="11">
        <f ca="1">VLOOKUP(P8, $A$2:$B$21, 2, FALSE)</f>
        <v>0</v>
      </c>
    </row>
    <row r="9" spans="1:16" ht="15.75" thickBot="1" x14ac:dyDescent="0.3">
      <c r="A9" s="3">
        <v>1008</v>
      </c>
      <c r="B9" s="4" t="s">
        <v>13</v>
      </c>
      <c r="C9" s="4">
        <v>94</v>
      </c>
      <c r="D9" s="4">
        <v>67</v>
      </c>
      <c r="E9" s="4">
        <v>64</v>
      </c>
      <c r="F9" s="9">
        <v>44361</v>
      </c>
      <c r="G9" s="15">
        <f t="shared" si="0"/>
        <v>225</v>
      </c>
      <c r="H9" s="16">
        <f t="shared" si="1"/>
        <v>75</v>
      </c>
      <c r="I9" s="17" t="str">
        <f t="shared" si="2"/>
        <v>C</v>
      </c>
      <c r="J9" s="18" t="str">
        <f t="shared" si="3"/>
        <v>NO</v>
      </c>
    </row>
    <row r="10" spans="1:16" ht="15.75" thickBot="1" x14ac:dyDescent="0.3">
      <c r="A10" s="3">
        <v>1009</v>
      </c>
      <c r="B10" s="4" t="s">
        <v>14</v>
      </c>
      <c r="C10" s="4">
        <v>41</v>
      </c>
      <c r="D10" s="4">
        <v>75</v>
      </c>
      <c r="E10" s="4">
        <v>56</v>
      </c>
      <c r="F10" s="9">
        <v>44541</v>
      </c>
      <c r="G10" s="15">
        <f t="shared" si="0"/>
        <v>172</v>
      </c>
      <c r="H10" s="16">
        <f t="shared" si="1"/>
        <v>57.333333333333336</v>
      </c>
      <c r="I10" s="17" t="str">
        <f t="shared" si="2"/>
        <v>F</v>
      </c>
      <c r="J10" s="18" t="str">
        <f t="shared" si="3"/>
        <v>NO</v>
      </c>
      <c r="O10" s="13" t="s">
        <v>111</v>
      </c>
      <c r="P10" s="11">
        <f ca="1">_xlfn.DAYS(TODAY(), F2)</f>
        <v>3222</v>
      </c>
    </row>
    <row r="11" spans="1:16" ht="15.75" thickBot="1" x14ac:dyDescent="0.3">
      <c r="A11" s="3">
        <v>1010</v>
      </c>
      <c r="B11" s="4" t="s">
        <v>15</v>
      </c>
      <c r="C11" s="4">
        <v>98</v>
      </c>
      <c r="D11" s="4">
        <v>54</v>
      </c>
      <c r="E11" s="4">
        <v>58</v>
      </c>
      <c r="F11" s="9">
        <v>44721</v>
      </c>
      <c r="G11" s="15">
        <f t="shared" si="0"/>
        <v>210</v>
      </c>
      <c r="H11" s="16">
        <f t="shared" si="1"/>
        <v>70</v>
      </c>
      <c r="I11" s="17" t="str">
        <f t="shared" si="2"/>
        <v>C</v>
      </c>
      <c r="J11" s="18" t="str">
        <f t="shared" si="3"/>
        <v>NO</v>
      </c>
    </row>
    <row r="12" spans="1:16" ht="15.75" thickBot="1" x14ac:dyDescent="0.3">
      <c r="A12" s="3">
        <v>1011</v>
      </c>
      <c r="B12" s="4" t="s">
        <v>16</v>
      </c>
      <c r="C12" s="4">
        <v>73</v>
      </c>
      <c r="D12" s="4">
        <v>79</v>
      </c>
      <c r="E12" s="4">
        <v>53</v>
      </c>
      <c r="F12" s="9">
        <v>44901</v>
      </c>
      <c r="G12" s="15">
        <f t="shared" si="0"/>
        <v>205</v>
      </c>
      <c r="H12" s="16">
        <f t="shared" si="1"/>
        <v>68.333333333333329</v>
      </c>
      <c r="I12" s="17" t="str">
        <f t="shared" si="2"/>
        <v>D</v>
      </c>
      <c r="J12" s="18" t="str">
        <f t="shared" si="3"/>
        <v>NO</v>
      </c>
      <c r="O12" s="13" t="s">
        <v>113</v>
      </c>
      <c r="P12" s="12">
        <f>ROUND(H2, 1)</f>
        <v>61.7</v>
      </c>
    </row>
    <row r="13" spans="1:16" ht="15.75" thickBot="1" x14ac:dyDescent="0.3">
      <c r="A13" s="3">
        <v>1012</v>
      </c>
      <c r="B13" s="4" t="s">
        <v>17</v>
      </c>
      <c r="C13" s="4">
        <v>85</v>
      </c>
      <c r="D13" s="4">
        <v>89</v>
      </c>
      <c r="E13" s="4">
        <v>79</v>
      </c>
      <c r="F13" s="9">
        <v>45081</v>
      </c>
      <c r="G13" s="15">
        <f t="shared" si="0"/>
        <v>253</v>
      </c>
      <c r="H13" s="16">
        <f t="shared" si="1"/>
        <v>84.333333333333329</v>
      </c>
      <c r="I13" s="17" t="str">
        <f t="shared" si="2"/>
        <v>B</v>
      </c>
      <c r="J13" s="18" t="str">
        <f t="shared" si="3"/>
        <v>YES</v>
      </c>
    </row>
    <row r="14" spans="1:16" ht="15.75" thickBot="1" x14ac:dyDescent="0.3">
      <c r="A14" s="3">
        <v>1013</v>
      </c>
      <c r="B14" s="4" t="s">
        <v>18</v>
      </c>
      <c r="C14" s="4">
        <v>98</v>
      </c>
      <c r="D14" s="4">
        <v>90</v>
      </c>
      <c r="E14" s="4">
        <v>97</v>
      </c>
      <c r="F14" s="9">
        <v>45261</v>
      </c>
      <c r="G14" s="15">
        <f t="shared" si="0"/>
        <v>285</v>
      </c>
      <c r="H14" s="16">
        <f t="shared" si="1"/>
        <v>95</v>
      </c>
      <c r="I14" s="17" t="str">
        <f t="shared" si="2"/>
        <v>A</v>
      </c>
      <c r="J14" s="18" t="str">
        <f t="shared" si="3"/>
        <v>YES</v>
      </c>
      <c r="O14" s="13" t="s">
        <v>115</v>
      </c>
      <c r="P14" s="11">
        <f>IFERROR(INDEX($A$2:$A$21, SMALL(IF($C$2:$C$21&gt;=90, ROW($C$2:$C$21)-ROW($C$2)+1), ROWS($R$2:R2))), "")</f>
        <v>1001</v>
      </c>
    </row>
    <row r="15" spans="1:16" ht="15.75" thickBot="1" x14ac:dyDescent="0.3">
      <c r="A15" s="3">
        <v>1014</v>
      </c>
      <c r="B15" s="4" t="s">
        <v>19</v>
      </c>
      <c r="C15" s="4">
        <v>93</v>
      </c>
      <c r="D15" s="4">
        <v>40</v>
      </c>
      <c r="E15" s="4">
        <v>44</v>
      </c>
      <c r="F15" s="9">
        <v>45441</v>
      </c>
      <c r="G15" s="15">
        <f t="shared" si="0"/>
        <v>177</v>
      </c>
      <c r="H15" s="16">
        <f t="shared" si="1"/>
        <v>59</v>
      </c>
      <c r="I15" s="17" t="str">
        <f t="shared" si="2"/>
        <v>F</v>
      </c>
      <c r="J15" s="18" t="str">
        <f t="shared" si="3"/>
        <v>NO</v>
      </c>
    </row>
    <row r="16" spans="1:16" ht="15.75" thickBot="1" x14ac:dyDescent="0.3">
      <c r="A16" s="3">
        <v>1015</v>
      </c>
      <c r="B16" s="4" t="s">
        <v>20</v>
      </c>
      <c r="C16" s="4">
        <v>70</v>
      </c>
      <c r="D16" s="4">
        <v>51</v>
      </c>
      <c r="E16" s="4">
        <v>75</v>
      </c>
      <c r="F16" s="9">
        <v>45621</v>
      </c>
      <c r="G16" s="15">
        <f t="shared" si="0"/>
        <v>196</v>
      </c>
      <c r="H16" s="16">
        <f t="shared" si="1"/>
        <v>65.333333333333329</v>
      </c>
      <c r="I16" s="17" t="str">
        <f t="shared" si="2"/>
        <v>D</v>
      </c>
      <c r="J16" s="18" t="str">
        <f t="shared" si="3"/>
        <v>NO</v>
      </c>
    </row>
    <row r="17" spans="1:10" ht="15.75" thickBot="1" x14ac:dyDescent="0.3">
      <c r="A17" s="3">
        <v>1016</v>
      </c>
      <c r="B17" s="4" t="s">
        <v>21</v>
      </c>
      <c r="C17" s="4">
        <v>98</v>
      </c>
      <c r="D17" s="4">
        <v>77</v>
      </c>
      <c r="E17" s="4">
        <v>60</v>
      </c>
      <c r="F17" s="9">
        <v>45801</v>
      </c>
      <c r="G17" s="15">
        <f t="shared" si="0"/>
        <v>235</v>
      </c>
      <c r="H17" s="16">
        <f t="shared" si="1"/>
        <v>78.333333333333329</v>
      </c>
      <c r="I17" s="17" t="str">
        <f t="shared" si="2"/>
        <v>C</v>
      </c>
      <c r="J17" s="18" t="str">
        <f t="shared" si="3"/>
        <v>NO</v>
      </c>
    </row>
    <row r="18" spans="1:10" ht="15.75" thickBot="1" x14ac:dyDescent="0.3">
      <c r="A18" s="3">
        <v>1017</v>
      </c>
      <c r="B18" s="4" t="s">
        <v>22</v>
      </c>
      <c r="C18" s="4">
        <v>66</v>
      </c>
      <c r="D18" s="4">
        <v>59</v>
      </c>
      <c r="E18" s="4">
        <v>40</v>
      </c>
      <c r="F18" s="9">
        <v>45981</v>
      </c>
      <c r="G18" s="15">
        <f t="shared" si="0"/>
        <v>165</v>
      </c>
      <c r="H18" s="16">
        <f t="shared" si="1"/>
        <v>55</v>
      </c>
      <c r="I18" s="17" t="str">
        <f t="shared" si="2"/>
        <v>F</v>
      </c>
      <c r="J18" s="18" t="str">
        <f t="shared" si="3"/>
        <v>NO</v>
      </c>
    </row>
    <row r="19" spans="1:10" ht="15.75" thickBot="1" x14ac:dyDescent="0.3">
      <c r="A19" s="3">
        <v>1018</v>
      </c>
      <c r="B19" s="4" t="s">
        <v>23</v>
      </c>
      <c r="C19" s="4">
        <v>82</v>
      </c>
      <c r="D19" s="4">
        <v>48</v>
      </c>
      <c r="E19" s="4">
        <v>79</v>
      </c>
      <c r="F19" s="9">
        <v>46161</v>
      </c>
      <c r="G19" s="15">
        <f t="shared" si="0"/>
        <v>209</v>
      </c>
      <c r="H19" s="16">
        <f t="shared" si="1"/>
        <v>69.666666666666671</v>
      </c>
      <c r="I19" s="17" t="str">
        <f t="shared" si="2"/>
        <v>D</v>
      </c>
      <c r="J19" s="18" t="str">
        <f t="shared" si="3"/>
        <v>NO</v>
      </c>
    </row>
    <row r="20" spans="1:10" ht="15.75" thickBot="1" x14ac:dyDescent="0.3">
      <c r="A20" s="3">
        <v>1019</v>
      </c>
      <c r="B20" s="4" t="s">
        <v>24</v>
      </c>
      <c r="C20" s="4">
        <v>90</v>
      </c>
      <c r="D20" s="4">
        <v>78</v>
      </c>
      <c r="E20" s="4">
        <v>60</v>
      </c>
      <c r="F20" s="9">
        <v>46341</v>
      </c>
      <c r="G20" s="15">
        <f t="shared" si="0"/>
        <v>228</v>
      </c>
      <c r="H20" s="16">
        <f t="shared" si="1"/>
        <v>76</v>
      </c>
      <c r="I20" s="17" t="str">
        <f t="shared" si="2"/>
        <v>C</v>
      </c>
      <c r="J20" s="18" t="str">
        <f t="shared" si="3"/>
        <v>NO</v>
      </c>
    </row>
    <row r="21" spans="1:10" ht="15.75" thickBot="1" x14ac:dyDescent="0.3">
      <c r="A21" s="3">
        <v>1020</v>
      </c>
      <c r="B21" s="4" t="s">
        <v>25</v>
      </c>
      <c r="C21" s="4">
        <v>83</v>
      </c>
      <c r="D21" s="4">
        <v>92</v>
      </c>
      <c r="E21" s="4">
        <v>55</v>
      </c>
      <c r="F21" s="9">
        <v>46521</v>
      </c>
      <c r="G21" s="15">
        <f t="shared" si="0"/>
        <v>230</v>
      </c>
      <c r="H21" s="16">
        <f t="shared" si="1"/>
        <v>76.666666666666671</v>
      </c>
      <c r="I21" s="17" t="str">
        <f t="shared" si="2"/>
        <v>C</v>
      </c>
      <c r="J21" s="18" t="str">
        <f t="shared" si="3"/>
        <v>YES</v>
      </c>
    </row>
  </sheetData>
  <conditionalFormatting sqref="A1:F21 G1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8">
      <colorScale>
        <cfvo type="min"/>
        <cfvo type="max"/>
        <color theme="4" tint="0.79998168889431442"/>
        <color theme="0" tint="-0.249977111117893"/>
      </colorScale>
    </cfRule>
    <cfRule type="colorScale" priority="9">
      <colorScale>
        <cfvo type="min"/>
        <cfvo type="max"/>
        <color theme="8" tint="0.79998168889431442"/>
        <color theme="8" tint="0.39997558519241921"/>
      </colorScale>
    </cfRule>
  </conditionalFormatting>
  <conditionalFormatting sqref="H1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5">
      <colorScale>
        <cfvo type="min"/>
        <cfvo type="max"/>
        <color theme="4" tint="0.79998168889431442"/>
        <color theme="0" tint="-0.249977111117893"/>
      </colorScale>
    </cfRule>
    <cfRule type="colorScale" priority="6">
      <colorScale>
        <cfvo type="min"/>
        <cfvo type="max"/>
        <color theme="8" tint="0.79998168889431442"/>
        <color theme="8" tint="0.39997558519241921"/>
      </colorScale>
    </cfRule>
  </conditionalFormatting>
  <conditionalFormatting sqref="I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">
      <colorScale>
        <cfvo type="min"/>
        <cfvo type="max"/>
        <color theme="4" tint="0.79998168889431442"/>
        <color theme="0" tint="-0.249977111117893"/>
      </colorScale>
    </cfRule>
    <cfRule type="colorScale" priority="3">
      <colorScale>
        <cfvo type="min"/>
        <cfvo type="max"/>
        <color theme="8" tint="0.79998168889431442"/>
        <color theme="8" tint="0.39997558519241921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opLeftCell="A8" zoomScale="85" zoomScaleNormal="85" workbookViewId="0">
      <selection activeCell="M16" sqref="L16:M16"/>
    </sheetView>
  </sheetViews>
  <sheetFormatPr defaultRowHeight="15" x14ac:dyDescent="0.25"/>
  <cols>
    <col min="6" max="6" width="10.7109375" bestFit="1" customWidth="1"/>
    <col min="8" max="8" width="23.28515625" customWidth="1"/>
    <col min="12" max="12" width="65.85546875" customWidth="1"/>
  </cols>
  <sheetData>
    <row r="1" spans="1:13" ht="30" x14ac:dyDescent="0.25">
      <c r="A1" s="10" t="s">
        <v>26</v>
      </c>
      <c r="B1" s="10" t="s">
        <v>27</v>
      </c>
      <c r="C1" s="10" t="s">
        <v>28</v>
      </c>
      <c r="D1" s="10" t="s">
        <v>29</v>
      </c>
      <c r="E1" s="10" t="s">
        <v>30</v>
      </c>
      <c r="F1" s="20" t="s">
        <v>31</v>
      </c>
      <c r="G1" s="10" t="s">
        <v>91</v>
      </c>
      <c r="H1" s="19" t="s">
        <v>94</v>
      </c>
    </row>
    <row r="2" spans="1:13" ht="30" x14ac:dyDescent="0.25">
      <c r="A2" s="23">
        <v>2001</v>
      </c>
      <c r="B2" s="21" t="s">
        <v>32</v>
      </c>
      <c r="C2" s="23" t="s">
        <v>33</v>
      </c>
      <c r="D2" s="21" t="s">
        <v>34</v>
      </c>
      <c r="E2" s="23">
        <v>7048</v>
      </c>
      <c r="F2" s="22">
        <v>44927</v>
      </c>
      <c r="G2" s="24">
        <f>IF(E2&gt;=30000, 15%, IF(E2&gt;=20000, 10%, IF(E2&gt;=10000, 5%,0)))</f>
        <v>0</v>
      </c>
      <c r="H2" s="18" t="str">
        <f>IF(OR(B2="Laptop", B2="Keyboard"), "Discount Available", "No Discount")</f>
        <v>Discount Available</v>
      </c>
    </row>
    <row r="3" spans="1:13" ht="16.5" x14ac:dyDescent="0.25">
      <c r="A3" s="23">
        <v>2002</v>
      </c>
      <c r="B3" s="21" t="s">
        <v>35</v>
      </c>
      <c r="C3" s="23" t="s">
        <v>36</v>
      </c>
      <c r="D3" s="21" t="s">
        <v>37</v>
      </c>
      <c r="E3" s="23">
        <v>17428</v>
      </c>
      <c r="F3" s="22">
        <v>44942</v>
      </c>
      <c r="G3" s="24">
        <f t="shared" ref="G3:G21" si="0">IF(E3&gt;=30000, 15%, IF(E3&gt;=20000, 10%, IF(E3&gt;=10000, 5%,0)))</f>
        <v>0.05</v>
      </c>
      <c r="H3" s="18" t="str">
        <f t="shared" ref="H3:H21" si="1">IF(OR(B3="Laptop", B3="Keyboard"), "Discount Available", "No Discount")</f>
        <v>No Discount</v>
      </c>
      <c r="L3" s="25" t="s">
        <v>96</v>
      </c>
      <c r="M3" s="11">
        <f>SUMIFS(E2:E21, B2:B21, "Laptop", C2:C21, "South")</f>
        <v>7283</v>
      </c>
    </row>
    <row r="4" spans="1:13" x14ac:dyDescent="0.25">
      <c r="A4" s="23">
        <v>2003</v>
      </c>
      <c r="B4" s="21" t="s">
        <v>38</v>
      </c>
      <c r="C4" s="23" t="s">
        <v>33</v>
      </c>
      <c r="D4" s="21" t="s">
        <v>39</v>
      </c>
      <c r="E4" s="23">
        <v>23672</v>
      </c>
      <c r="F4" s="22">
        <v>44957</v>
      </c>
      <c r="G4" s="24">
        <f t="shared" si="0"/>
        <v>0.1</v>
      </c>
      <c r="H4" s="18" t="str">
        <f t="shared" si="1"/>
        <v>No Discount</v>
      </c>
      <c r="L4" s="26" t="s">
        <v>97</v>
      </c>
      <c r="M4" s="11"/>
    </row>
    <row r="5" spans="1:13" x14ac:dyDescent="0.25">
      <c r="A5" s="23">
        <v>2004</v>
      </c>
      <c r="B5" s="21" t="s">
        <v>35</v>
      </c>
      <c r="C5" s="23" t="s">
        <v>40</v>
      </c>
      <c r="D5" s="21" t="s">
        <v>41</v>
      </c>
      <c r="E5" s="23">
        <v>5264</v>
      </c>
      <c r="F5" s="22">
        <v>44972</v>
      </c>
      <c r="G5" s="24">
        <f t="shared" si="0"/>
        <v>0</v>
      </c>
      <c r="H5" s="18" t="str">
        <f t="shared" si="1"/>
        <v>No Discount</v>
      </c>
    </row>
    <row r="6" spans="1:13" ht="30" x14ac:dyDescent="0.25">
      <c r="A6" s="23">
        <v>2005</v>
      </c>
      <c r="B6" s="21" t="s">
        <v>32</v>
      </c>
      <c r="C6" s="23" t="s">
        <v>42</v>
      </c>
      <c r="D6" s="21" t="s">
        <v>43</v>
      </c>
      <c r="E6" s="23">
        <v>43388</v>
      </c>
      <c r="F6" s="22">
        <v>44987</v>
      </c>
      <c r="G6" s="24">
        <f t="shared" si="0"/>
        <v>0.15</v>
      </c>
      <c r="H6" s="18" t="str">
        <f t="shared" si="1"/>
        <v>Discount Available</v>
      </c>
    </row>
    <row r="7" spans="1:13" x14ac:dyDescent="0.25">
      <c r="A7" s="23">
        <v>2006</v>
      </c>
      <c r="B7" s="21" t="s">
        <v>38</v>
      </c>
      <c r="C7" s="23" t="s">
        <v>42</v>
      </c>
      <c r="D7" s="21" t="s">
        <v>44</v>
      </c>
      <c r="E7" s="23">
        <v>19757</v>
      </c>
      <c r="F7" s="22">
        <v>45002</v>
      </c>
      <c r="G7" s="24">
        <f t="shared" si="0"/>
        <v>0.05</v>
      </c>
      <c r="H7" s="18" t="str">
        <f t="shared" si="1"/>
        <v>No Discount</v>
      </c>
    </row>
    <row r="8" spans="1:13" x14ac:dyDescent="0.25">
      <c r="A8" s="23">
        <v>2007</v>
      </c>
      <c r="B8" s="21" t="s">
        <v>38</v>
      </c>
      <c r="C8" s="23" t="s">
        <v>40</v>
      </c>
      <c r="D8" s="21" t="s">
        <v>45</v>
      </c>
      <c r="E8" s="23">
        <v>32058</v>
      </c>
      <c r="F8" s="22">
        <v>45017</v>
      </c>
      <c r="G8" s="24">
        <f t="shared" si="0"/>
        <v>0.15</v>
      </c>
      <c r="H8" s="18" t="str">
        <f t="shared" si="1"/>
        <v>No Discount</v>
      </c>
      <c r="L8" s="7" t="s">
        <v>100</v>
      </c>
      <c r="M8" s="7">
        <f>INDEX(E2:E21, MATCH(1, INDEX((D2:D21="Person 5")*(MONTH(F2:F21)=3), 0), 0))</f>
        <v>43388</v>
      </c>
    </row>
    <row r="9" spans="1:13" ht="30" x14ac:dyDescent="0.25">
      <c r="A9" s="23">
        <v>2008</v>
      </c>
      <c r="B9" s="21" t="s">
        <v>32</v>
      </c>
      <c r="C9" s="23" t="s">
        <v>40</v>
      </c>
      <c r="D9" s="21" t="s">
        <v>46</v>
      </c>
      <c r="E9" s="23">
        <v>46429</v>
      </c>
      <c r="F9" s="22">
        <v>45032</v>
      </c>
      <c r="G9" s="24">
        <f t="shared" si="0"/>
        <v>0.15</v>
      </c>
      <c r="H9" s="18" t="str">
        <f t="shared" si="1"/>
        <v>Discount Available</v>
      </c>
    </row>
    <row r="10" spans="1:13" x14ac:dyDescent="0.25">
      <c r="A10" s="23">
        <v>2009</v>
      </c>
      <c r="B10" s="21" t="s">
        <v>35</v>
      </c>
      <c r="C10" s="23" t="s">
        <v>40</v>
      </c>
      <c r="D10" s="21" t="s">
        <v>47</v>
      </c>
      <c r="E10" s="23">
        <v>19746</v>
      </c>
      <c r="F10" s="22">
        <v>45047</v>
      </c>
      <c r="G10" s="24">
        <f t="shared" si="0"/>
        <v>0.05</v>
      </c>
      <c r="H10" s="18" t="str">
        <f t="shared" si="1"/>
        <v>No Discount</v>
      </c>
      <c r="L10" s="26" t="s">
        <v>105</v>
      </c>
      <c r="M10" s="11">
        <f>INDEX(E2:E21, MATCH("Person 8", D2:D21, 0))</f>
        <v>46429</v>
      </c>
    </row>
    <row r="11" spans="1:13" ht="30" x14ac:dyDescent="0.25">
      <c r="A11" s="23">
        <v>2010</v>
      </c>
      <c r="B11" s="21" t="s">
        <v>32</v>
      </c>
      <c r="C11" s="23" t="s">
        <v>33</v>
      </c>
      <c r="D11" s="21" t="s">
        <v>48</v>
      </c>
      <c r="E11" s="23">
        <v>35185</v>
      </c>
      <c r="F11" s="22">
        <v>45062</v>
      </c>
      <c r="G11" s="24">
        <f t="shared" si="0"/>
        <v>0.15</v>
      </c>
      <c r="H11" s="18" t="str">
        <f t="shared" si="1"/>
        <v>Discount Available</v>
      </c>
    </row>
    <row r="12" spans="1:13" ht="30" x14ac:dyDescent="0.25">
      <c r="A12" s="23">
        <v>2011</v>
      </c>
      <c r="B12" s="21" t="s">
        <v>32</v>
      </c>
      <c r="C12" s="23" t="s">
        <v>40</v>
      </c>
      <c r="D12" s="21" t="s">
        <v>49</v>
      </c>
      <c r="E12" s="23">
        <v>33920</v>
      </c>
      <c r="F12" s="22">
        <v>45077</v>
      </c>
      <c r="G12" s="24">
        <f t="shared" si="0"/>
        <v>0.15</v>
      </c>
      <c r="H12" s="18" t="str">
        <f t="shared" si="1"/>
        <v>Discount Available</v>
      </c>
      <c r="L12" s="26" t="s">
        <v>106</v>
      </c>
      <c r="M12" s="11" t="str">
        <f>INDEX(D2:D21, MATCH(3004, Sheet3!A2:A21, 0))</f>
        <v>Person 4</v>
      </c>
    </row>
    <row r="13" spans="1:13" ht="30" x14ac:dyDescent="0.25">
      <c r="A13" s="23">
        <v>2012</v>
      </c>
      <c r="B13" s="21" t="s">
        <v>50</v>
      </c>
      <c r="C13" s="23" t="s">
        <v>42</v>
      </c>
      <c r="D13" s="21" t="s">
        <v>51</v>
      </c>
      <c r="E13" s="23">
        <v>35611</v>
      </c>
      <c r="F13" s="22">
        <v>45092</v>
      </c>
      <c r="G13" s="24">
        <f t="shared" si="0"/>
        <v>0.15</v>
      </c>
      <c r="H13" s="18" t="str">
        <f t="shared" si="1"/>
        <v>No Discount</v>
      </c>
    </row>
    <row r="14" spans="1:13" ht="30" x14ac:dyDescent="0.25">
      <c r="A14" s="23">
        <v>2013</v>
      </c>
      <c r="B14" s="21" t="s">
        <v>52</v>
      </c>
      <c r="C14" s="23" t="s">
        <v>40</v>
      </c>
      <c r="D14" s="21" t="s">
        <v>53</v>
      </c>
      <c r="E14" s="23">
        <v>15560</v>
      </c>
      <c r="F14" s="22">
        <v>45107</v>
      </c>
      <c r="G14" s="24">
        <f t="shared" si="0"/>
        <v>0.05</v>
      </c>
      <c r="H14" s="18" t="str">
        <f t="shared" si="1"/>
        <v>Discount Available</v>
      </c>
      <c r="L14" s="26" t="s">
        <v>107</v>
      </c>
      <c r="M14" s="11">
        <f>MATCH("Monitor", B2:B21, 0)</f>
        <v>12</v>
      </c>
    </row>
    <row r="15" spans="1:13" ht="30" x14ac:dyDescent="0.25">
      <c r="A15" s="23">
        <v>2014</v>
      </c>
      <c r="B15" s="21" t="s">
        <v>52</v>
      </c>
      <c r="C15" s="23" t="s">
        <v>33</v>
      </c>
      <c r="D15" s="21" t="s">
        <v>54</v>
      </c>
      <c r="E15" s="23">
        <v>7283</v>
      </c>
      <c r="F15" s="22">
        <v>45122</v>
      </c>
      <c r="G15" s="24">
        <f t="shared" si="0"/>
        <v>0</v>
      </c>
      <c r="H15" s="18" t="str">
        <f t="shared" si="1"/>
        <v>Discount Available</v>
      </c>
    </row>
    <row r="16" spans="1:13" ht="30" x14ac:dyDescent="0.25">
      <c r="A16" s="23">
        <v>2015</v>
      </c>
      <c r="B16" s="21" t="s">
        <v>52</v>
      </c>
      <c r="C16" s="23" t="s">
        <v>40</v>
      </c>
      <c r="D16" s="21" t="s">
        <v>55</v>
      </c>
      <c r="E16" s="23">
        <v>15678</v>
      </c>
      <c r="F16" s="22">
        <v>45137</v>
      </c>
      <c r="G16" s="24">
        <f t="shared" si="0"/>
        <v>0.05</v>
      </c>
      <c r="H16" s="18" t="str">
        <f t="shared" si="1"/>
        <v>Discount Available</v>
      </c>
      <c r="L16" s="26" t="s">
        <v>108</v>
      </c>
      <c r="M16" s="26">
        <f ca="1">SUM(INDIRECT(M16))</f>
        <v>0</v>
      </c>
    </row>
    <row r="17" spans="1:13" ht="30" x14ac:dyDescent="0.25">
      <c r="A17" s="23">
        <v>2016</v>
      </c>
      <c r="B17" s="21" t="s">
        <v>38</v>
      </c>
      <c r="C17" s="23" t="s">
        <v>40</v>
      </c>
      <c r="D17" s="21" t="s">
        <v>56</v>
      </c>
      <c r="E17" s="23">
        <v>5277</v>
      </c>
      <c r="F17" s="22">
        <v>45152</v>
      </c>
      <c r="G17" s="24">
        <f t="shared" si="0"/>
        <v>0</v>
      </c>
      <c r="H17" s="18" t="str">
        <f t="shared" si="1"/>
        <v>No Discount</v>
      </c>
    </row>
    <row r="18" spans="1:13" ht="30" x14ac:dyDescent="0.25">
      <c r="A18" s="23">
        <v>2017</v>
      </c>
      <c r="B18" s="21" t="s">
        <v>50</v>
      </c>
      <c r="C18" s="23" t="s">
        <v>42</v>
      </c>
      <c r="D18" s="21" t="s">
        <v>57</v>
      </c>
      <c r="E18" s="23">
        <v>41871</v>
      </c>
      <c r="F18" s="22">
        <v>45167</v>
      </c>
      <c r="G18" s="24">
        <f t="shared" si="0"/>
        <v>0.15</v>
      </c>
      <c r="H18" s="18" t="str">
        <f t="shared" si="1"/>
        <v>No Discount</v>
      </c>
      <c r="L18" s="26" t="s">
        <v>109</v>
      </c>
      <c r="M18" s="11">
        <f ca="1">SUM(OFFSET(E1, 1, 0, 5, 1))</f>
        <v>96800</v>
      </c>
    </row>
    <row r="19" spans="1:13" ht="30" x14ac:dyDescent="0.25">
      <c r="A19" s="23">
        <v>2018</v>
      </c>
      <c r="B19" s="21" t="s">
        <v>50</v>
      </c>
      <c r="C19" s="23" t="s">
        <v>36</v>
      </c>
      <c r="D19" s="21" t="s">
        <v>58</v>
      </c>
      <c r="E19" s="23">
        <v>38161</v>
      </c>
      <c r="F19" s="22">
        <v>45182</v>
      </c>
      <c r="G19" s="24">
        <f t="shared" si="0"/>
        <v>0.15</v>
      </c>
      <c r="H19" s="18" t="str">
        <f t="shared" si="1"/>
        <v>No Discount</v>
      </c>
    </row>
    <row r="20" spans="1:13" ht="30" x14ac:dyDescent="0.25">
      <c r="A20" s="23">
        <v>2019</v>
      </c>
      <c r="B20" s="21" t="s">
        <v>38</v>
      </c>
      <c r="C20" s="23" t="s">
        <v>36</v>
      </c>
      <c r="D20" s="21" t="s">
        <v>59</v>
      </c>
      <c r="E20" s="23">
        <v>30436</v>
      </c>
      <c r="F20" s="22">
        <v>45197</v>
      </c>
      <c r="G20" s="24">
        <f t="shared" si="0"/>
        <v>0.15</v>
      </c>
      <c r="H20" s="18" t="str">
        <f t="shared" si="1"/>
        <v>No Discount</v>
      </c>
      <c r="L20" s="26" t="s">
        <v>112</v>
      </c>
      <c r="M20" s="11">
        <f>CEILING(E2, 100)</f>
        <v>7100</v>
      </c>
    </row>
    <row r="21" spans="1:13" ht="30" x14ac:dyDescent="0.25">
      <c r="A21" s="23">
        <v>2020</v>
      </c>
      <c r="B21" s="21" t="s">
        <v>35</v>
      </c>
      <c r="C21" s="23" t="s">
        <v>36</v>
      </c>
      <c r="D21" s="21" t="s">
        <v>60</v>
      </c>
      <c r="E21" s="23">
        <v>33953</v>
      </c>
      <c r="F21" s="22">
        <v>45212</v>
      </c>
      <c r="G21" s="24">
        <f t="shared" si="0"/>
        <v>0.15</v>
      </c>
      <c r="H21" s="18" t="str">
        <f t="shared" si="1"/>
        <v>No Discount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K2" sqref="K2"/>
    </sheetView>
  </sheetViews>
  <sheetFormatPr defaultRowHeight="15" x14ac:dyDescent="0.25"/>
  <cols>
    <col min="5" max="5" width="10.7109375" bestFit="1" customWidth="1"/>
    <col min="10" max="10" width="67.7109375" customWidth="1"/>
    <col min="11" max="11" width="13.28515625" customWidth="1"/>
  </cols>
  <sheetData>
    <row r="1" spans="1:11" ht="30.75" thickBot="1" x14ac:dyDescent="0.3">
      <c r="A1" s="1" t="s">
        <v>61</v>
      </c>
      <c r="B1" s="2" t="s">
        <v>1</v>
      </c>
      <c r="C1" s="2" t="s">
        <v>62</v>
      </c>
      <c r="D1" s="2" t="s">
        <v>63</v>
      </c>
      <c r="E1" s="5" t="s">
        <v>64</v>
      </c>
    </row>
    <row r="2" spans="1:11" ht="30.75" thickBot="1" x14ac:dyDescent="0.3">
      <c r="A2" s="27">
        <v>3001</v>
      </c>
      <c r="B2" s="4" t="s">
        <v>65</v>
      </c>
      <c r="C2" s="28" t="s">
        <v>66</v>
      </c>
      <c r="D2" s="4">
        <v>86766</v>
      </c>
      <c r="E2" s="29">
        <v>42005</v>
      </c>
      <c r="J2" s="13" t="s">
        <v>101</v>
      </c>
      <c r="K2" s="30" t="str">
        <f>INDEX(B2:B21, MATCH(109972, D2:D21, 0))</f>
        <v>Employee 4</v>
      </c>
    </row>
    <row r="3" spans="1:11" ht="30.75" thickBot="1" x14ac:dyDescent="0.3">
      <c r="A3" s="27">
        <v>3002</v>
      </c>
      <c r="B3" s="4" t="s">
        <v>67</v>
      </c>
      <c r="C3" s="28" t="s">
        <v>66</v>
      </c>
      <c r="D3" s="4">
        <v>31943</v>
      </c>
      <c r="E3" s="29">
        <v>42255</v>
      </c>
    </row>
    <row r="4" spans="1:11" ht="30.75" thickBot="1" x14ac:dyDescent="0.3">
      <c r="A4" s="27">
        <v>3003</v>
      </c>
      <c r="B4" s="4" t="s">
        <v>68</v>
      </c>
      <c r="C4" s="28" t="s">
        <v>69</v>
      </c>
      <c r="D4" s="4">
        <v>63374</v>
      </c>
      <c r="E4" s="29">
        <v>42505</v>
      </c>
      <c r="J4" s="13" t="s">
        <v>102</v>
      </c>
      <c r="K4" s="30" t="str">
        <f>LEFT(B2, FIND(" ", B2) - 1)</f>
        <v>Employee</v>
      </c>
    </row>
    <row r="5" spans="1:11" ht="30.75" thickBot="1" x14ac:dyDescent="0.3">
      <c r="A5" s="27">
        <v>3004</v>
      </c>
      <c r="B5" s="4" t="s">
        <v>70</v>
      </c>
      <c r="C5" s="28" t="s">
        <v>66</v>
      </c>
      <c r="D5" s="4">
        <v>109972</v>
      </c>
      <c r="E5" s="29">
        <v>42755</v>
      </c>
    </row>
    <row r="6" spans="1:11" ht="30.75" thickBot="1" x14ac:dyDescent="0.3">
      <c r="A6" s="27">
        <v>3005</v>
      </c>
      <c r="B6" s="4" t="s">
        <v>71</v>
      </c>
      <c r="C6" s="28" t="s">
        <v>72</v>
      </c>
      <c r="D6" s="4">
        <v>54149</v>
      </c>
      <c r="E6" s="29">
        <v>43005</v>
      </c>
      <c r="J6" s="13" t="s">
        <v>103</v>
      </c>
      <c r="K6" s="11" t="str">
        <f>UPPER(B2)</f>
        <v>EMPLOYEE 1</v>
      </c>
    </row>
    <row r="7" spans="1:11" ht="30.75" thickBot="1" x14ac:dyDescent="0.3">
      <c r="A7" s="27">
        <v>3006</v>
      </c>
      <c r="B7" s="4" t="s">
        <v>73</v>
      </c>
      <c r="C7" s="28" t="s">
        <v>72</v>
      </c>
      <c r="D7" s="4">
        <v>78689</v>
      </c>
      <c r="E7" s="29">
        <v>43255</v>
      </c>
    </row>
    <row r="8" spans="1:11" ht="30.75" thickBot="1" x14ac:dyDescent="0.3">
      <c r="A8" s="27">
        <v>3007</v>
      </c>
      <c r="B8" s="4" t="s">
        <v>74</v>
      </c>
      <c r="C8" s="28" t="s">
        <v>75</v>
      </c>
      <c r="D8" s="4">
        <v>35960</v>
      </c>
      <c r="E8" s="29">
        <v>43505</v>
      </c>
      <c r="J8" s="13" t="s">
        <v>104</v>
      </c>
      <c r="K8" s="11" t="str">
        <f>LOWER(B2)</f>
        <v>employee 1</v>
      </c>
    </row>
    <row r="9" spans="1:11" ht="30.75" thickBot="1" x14ac:dyDescent="0.3">
      <c r="A9" s="27">
        <v>3008</v>
      </c>
      <c r="B9" s="4" t="s">
        <v>76</v>
      </c>
      <c r="C9" s="28" t="s">
        <v>72</v>
      </c>
      <c r="D9" s="4">
        <v>91659</v>
      </c>
      <c r="E9" s="29">
        <v>43755</v>
      </c>
    </row>
    <row r="10" spans="1:11" ht="30.75" thickBot="1" x14ac:dyDescent="0.3">
      <c r="A10" s="27">
        <v>3009</v>
      </c>
      <c r="B10" s="4" t="s">
        <v>77</v>
      </c>
      <c r="C10" s="28" t="s">
        <v>72</v>
      </c>
      <c r="D10" s="4">
        <v>90423</v>
      </c>
      <c r="E10" s="29">
        <v>44005</v>
      </c>
      <c r="J10" s="13" t="s">
        <v>110</v>
      </c>
      <c r="K10" s="11">
        <f ca="1">DATEDIF(E2, TODAY(), "Y")</f>
        <v>11</v>
      </c>
    </row>
    <row r="11" spans="1:11" ht="30.75" thickBot="1" x14ac:dyDescent="0.3">
      <c r="A11" s="27">
        <v>3010</v>
      </c>
      <c r="B11" s="4" t="s">
        <v>78</v>
      </c>
      <c r="C11" s="28" t="s">
        <v>69</v>
      </c>
      <c r="D11" s="4">
        <v>107877</v>
      </c>
      <c r="E11" s="29">
        <v>44255</v>
      </c>
    </row>
    <row r="12" spans="1:11" ht="30.75" thickBot="1" x14ac:dyDescent="0.3">
      <c r="A12" s="27">
        <v>3011</v>
      </c>
      <c r="B12" s="4" t="s">
        <v>79</v>
      </c>
      <c r="C12" s="28" t="s">
        <v>66</v>
      </c>
      <c r="D12" s="4">
        <v>107634</v>
      </c>
      <c r="E12" s="29">
        <v>44505</v>
      </c>
      <c r="J12" s="13" t="s">
        <v>114</v>
      </c>
      <c r="K12" s="11">
        <f>FLOOR(E2, 100)</f>
        <v>42000</v>
      </c>
    </row>
    <row r="13" spans="1:11" ht="30.75" thickBot="1" x14ac:dyDescent="0.3">
      <c r="A13" s="27">
        <v>3012</v>
      </c>
      <c r="B13" s="4" t="s">
        <v>80</v>
      </c>
      <c r="C13" s="28" t="s">
        <v>66</v>
      </c>
      <c r="D13" s="4">
        <v>35226</v>
      </c>
      <c r="E13" s="29">
        <v>44755</v>
      </c>
    </row>
    <row r="14" spans="1:11" ht="30.75" thickBot="1" x14ac:dyDescent="0.3">
      <c r="A14" s="27">
        <v>3013</v>
      </c>
      <c r="B14" s="4" t="s">
        <v>81</v>
      </c>
      <c r="C14" s="28" t="s">
        <v>69</v>
      </c>
      <c r="D14" s="4">
        <v>40872</v>
      </c>
      <c r="E14" s="29">
        <v>45005</v>
      </c>
    </row>
    <row r="15" spans="1:11" ht="30.75" thickBot="1" x14ac:dyDescent="0.3">
      <c r="A15" s="27">
        <v>3014</v>
      </c>
      <c r="B15" s="4" t="s">
        <v>82</v>
      </c>
      <c r="C15" s="28" t="s">
        <v>69</v>
      </c>
      <c r="D15" s="4">
        <v>55378</v>
      </c>
      <c r="E15" s="29">
        <v>45255</v>
      </c>
    </row>
    <row r="16" spans="1:11" ht="30.75" thickBot="1" x14ac:dyDescent="0.3">
      <c r="A16" s="27">
        <v>3015</v>
      </c>
      <c r="B16" s="4" t="s">
        <v>83</v>
      </c>
      <c r="C16" s="28" t="s">
        <v>69</v>
      </c>
      <c r="D16" s="4">
        <v>63297</v>
      </c>
      <c r="E16" s="29">
        <v>45505</v>
      </c>
    </row>
    <row r="17" spans="1:5" ht="30.75" thickBot="1" x14ac:dyDescent="0.3">
      <c r="A17" s="27">
        <v>3016</v>
      </c>
      <c r="B17" s="4" t="s">
        <v>84</v>
      </c>
      <c r="C17" s="28" t="s">
        <v>66</v>
      </c>
      <c r="D17" s="4">
        <v>114173</v>
      </c>
      <c r="E17" s="29">
        <v>45755</v>
      </c>
    </row>
    <row r="18" spans="1:5" ht="30.75" thickBot="1" x14ac:dyDescent="0.3">
      <c r="A18" s="27">
        <v>3017</v>
      </c>
      <c r="B18" s="4" t="s">
        <v>85</v>
      </c>
      <c r="C18" s="28" t="s">
        <v>69</v>
      </c>
      <c r="D18" s="4">
        <v>86915</v>
      </c>
      <c r="E18" s="29">
        <v>46005</v>
      </c>
    </row>
    <row r="19" spans="1:5" ht="30.75" thickBot="1" x14ac:dyDescent="0.3">
      <c r="A19" s="27">
        <v>3018</v>
      </c>
      <c r="B19" s="4" t="s">
        <v>86</v>
      </c>
      <c r="C19" s="28" t="s">
        <v>72</v>
      </c>
      <c r="D19" s="4">
        <v>116284</v>
      </c>
      <c r="E19" s="29">
        <v>46255</v>
      </c>
    </row>
    <row r="20" spans="1:5" ht="30.75" thickBot="1" x14ac:dyDescent="0.3">
      <c r="A20" s="27">
        <v>3019</v>
      </c>
      <c r="B20" s="4" t="s">
        <v>87</v>
      </c>
      <c r="C20" s="28" t="s">
        <v>75</v>
      </c>
      <c r="D20" s="4">
        <v>116283</v>
      </c>
      <c r="E20" s="29">
        <v>46505</v>
      </c>
    </row>
    <row r="21" spans="1:5" ht="30.75" thickBot="1" x14ac:dyDescent="0.3">
      <c r="A21" s="27">
        <v>3020</v>
      </c>
      <c r="B21" s="4" t="s">
        <v>88</v>
      </c>
      <c r="C21" s="28" t="s">
        <v>75</v>
      </c>
      <c r="D21" s="4">
        <v>99924</v>
      </c>
      <c r="E21" s="29">
        <v>46755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2026-10-27T04:35:29Z</dcterms:created>
  <dcterms:modified xsi:type="dcterms:W3CDTF">2026-10-28T18:05:26Z</dcterms:modified>
</cp:coreProperties>
</file>